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shul/Downloads/DATA VIS - 2/"/>
    </mc:Choice>
  </mc:AlternateContent>
  <xr:revisionPtr revIDLastSave="0" documentId="13_ncr:1_{16F5E186-8C5E-1340-B025-C5D7892EEF76}" xr6:coauthVersionLast="47" xr6:coauthVersionMax="47" xr10:uidLastSave="{00000000-0000-0000-0000-000000000000}"/>
  <bookViews>
    <workbookView xWindow="0" yWindow="620" windowWidth="38400" windowHeight="21680" xr2:uid="{1665A819-2C93-5946-8991-2A91F74CC0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4" i="1" l="1"/>
  <c r="H4" i="1"/>
  <c r="G4" i="1"/>
  <c r="F4" i="1"/>
  <c r="E4" i="1"/>
  <c r="E5" i="1" s="1"/>
  <c r="D4" i="1"/>
  <c r="C4" i="1"/>
  <c r="B4" i="1"/>
  <c r="I53" i="1"/>
  <c r="H53" i="1"/>
  <c r="G53" i="1"/>
  <c r="F53" i="1"/>
  <c r="E53" i="1"/>
  <c r="D53" i="1"/>
  <c r="C53" i="1"/>
  <c r="B53" i="1"/>
  <c r="I52" i="1"/>
  <c r="H52" i="1"/>
  <c r="G52" i="1"/>
  <c r="F52" i="1"/>
  <c r="E52" i="1"/>
  <c r="D52" i="1"/>
  <c r="C52" i="1"/>
  <c r="B52" i="1"/>
  <c r="I51" i="1"/>
  <c r="H51" i="1"/>
  <c r="G51" i="1"/>
  <c r="F51" i="1"/>
  <c r="E51" i="1"/>
  <c r="D51" i="1"/>
  <c r="C51" i="1"/>
  <c r="B51" i="1"/>
  <c r="I50" i="1"/>
  <c r="H50" i="1"/>
  <c r="G50" i="1"/>
  <c r="F50" i="1"/>
  <c r="E50" i="1"/>
  <c r="D50" i="1"/>
  <c r="C50" i="1"/>
  <c r="B50" i="1"/>
  <c r="I49" i="1"/>
  <c r="H49" i="1"/>
  <c r="G49" i="1"/>
  <c r="F49" i="1"/>
  <c r="E49" i="1"/>
  <c r="D49" i="1"/>
  <c r="C49" i="1"/>
  <c r="B49" i="1"/>
  <c r="C5" i="1" l="1"/>
  <c r="D5" i="1"/>
  <c r="B5" i="1"/>
  <c r="F5" i="1"/>
  <c r="G5" i="1"/>
  <c r="H5" i="1"/>
  <c r="I5" i="1"/>
</calcChain>
</file>

<file path=xl/sharedStrings.xml><?xml version="1.0" encoding="utf-8"?>
<sst xmlns="http://schemas.openxmlformats.org/spreadsheetml/2006/main" count="21" uniqueCount="17">
  <si>
    <t>Age (years)</t>
  </si>
  <si>
    <t>New South Wales</t>
  </si>
  <si>
    <t>Victoria</t>
  </si>
  <si>
    <t>Queensland</t>
  </si>
  <si>
    <t>South Australia</t>
  </si>
  <si>
    <t>Western Australia</t>
  </si>
  <si>
    <t>Tasmania</t>
  </si>
  <si>
    <t>Northern Territory</t>
  </si>
  <si>
    <t>Australian Capital Territory</t>
  </si>
  <si>
    <t>0-14</t>
  </si>
  <si>
    <t>15-29</t>
  </si>
  <si>
    <t>30-44</t>
  </si>
  <si>
    <t>45-59</t>
  </si>
  <si>
    <t>60-74</t>
  </si>
  <si>
    <t>75-89</t>
  </si>
  <si>
    <t>90-100+</t>
  </si>
  <si>
    <t>60+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</si>
</sst>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right"/>
    </xf>
    <xf numFmtId="0" fontId="2" fillId="0" borderId="0" xfId="0" applyFont="1"/>
    <xf numFmtId="3" fontId="0" fillId="0" borderId="0" xfId="0" applyNumberFormat="1"/>
    <xf numFmtId="0" fontId="3" fillId="0" borderId="0" xfId="0" applyFont="1" applyAlignment="1">
      <alignment horizontal="left"/>
    </xf>
    <xf numFmtId="3" fontId="3" fillId="0" borderId="0" xfId="0" applyNumberFormat="1" applyFont="1" applyAlignment="1">
      <alignment horizontal="right"/>
    </xf>
    <xf numFmtId="3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45B2D-4251-AD40-8F26-0072A67D0B88}">
  <dimension ref="A1:J53"/>
  <sheetViews>
    <sheetView tabSelected="1" zoomScale="125" workbookViewId="0">
      <selection activeCell="E11" sqref="E11"/>
    </sheetView>
  </sheetViews>
  <sheetFormatPr baseColWidth="10" defaultRowHeight="16" x14ac:dyDescent="0.2"/>
  <cols>
    <col min="1" max="1" width="13" customWidth="1"/>
    <col min="2" max="2" width="20.5" customWidth="1"/>
    <col min="3" max="3" width="17.33203125" customWidth="1"/>
    <col min="4" max="4" width="20.1640625" customWidth="1"/>
    <col min="5" max="5" width="26.1640625" customWidth="1"/>
    <col min="6" max="6" width="17.33203125" customWidth="1"/>
    <col min="7" max="7" width="15.83203125" customWidth="1"/>
    <col min="8" max="8" width="23" customWidth="1"/>
    <col min="9" max="9" width="26.6640625" customWidth="1"/>
    <col min="10" max="10" width="27.1640625" customWidth="1"/>
  </cols>
  <sheetData>
    <row r="1" spans="1:10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/>
    </row>
    <row r="2" spans="1:10" x14ac:dyDescent="0.2">
      <c r="A2" s="5" t="s">
        <v>9</v>
      </c>
      <c r="B2" s="6">
        <v>1495123</v>
      </c>
      <c r="C2" s="6">
        <v>1214384</v>
      </c>
      <c r="D2" s="6">
        <v>1002161</v>
      </c>
      <c r="E2" s="6">
        <v>311622</v>
      </c>
      <c r="F2" s="6">
        <v>541836</v>
      </c>
      <c r="G2" s="6">
        <v>92744</v>
      </c>
      <c r="H2" s="6">
        <v>53203</v>
      </c>
      <c r="I2" s="6">
        <v>83134</v>
      </c>
    </row>
    <row r="3" spans="1:10" x14ac:dyDescent="0.2">
      <c r="A3" s="5" t="s">
        <v>10</v>
      </c>
      <c r="B3" s="6">
        <v>1700599</v>
      </c>
      <c r="C3" s="6">
        <v>1408372</v>
      </c>
      <c r="D3" s="6">
        <v>1117675</v>
      </c>
      <c r="E3" s="6">
        <v>358566</v>
      </c>
      <c r="F3" s="6">
        <v>588949</v>
      </c>
      <c r="G3" s="6">
        <v>100466</v>
      </c>
      <c r="H3" s="6">
        <v>58399</v>
      </c>
      <c r="I3" s="6">
        <v>110012</v>
      </c>
      <c r="J3" s="6"/>
    </row>
    <row r="4" spans="1:10" x14ac:dyDescent="0.2">
      <c r="A4" s="1" t="s">
        <v>11</v>
      </c>
      <c r="B4" s="2">
        <f t="shared" ref="B4:I8" si="0">SUM(B1:B3)</f>
        <v>3195722</v>
      </c>
      <c r="C4" s="2">
        <f t="shared" si="0"/>
        <v>2622756</v>
      </c>
      <c r="D4" s="2">
        <f t="shared" si="0"/>
        <v>2119836</v>
      </c>
      <c r="E4" s="2">
        <f t="shared" si="0"/>
        <v>670188</v>
      </c>
      <c r="F4" s="2">
        <f t="shared" si="0"/>
        <v>1130785</v>
      </c>
      <c r="G4" s="2">
        <f t="shared" si="0"/>
        <v>193210</v>
      </c>
      <c r="H4" s="2">
        <f t="shared" si="0"/>
        <v>111602</v>
      </c>
      <c r="I4" s="2">
        <f t="shared" si="0"/>
        <v>193146</v>
      </c>
      <c r="J4" s="2"/>
    </row>
    <row r="5" spans="1:10" x14ac:dyDescent="0.2">
      <c r="A5" s="1" t="s">
        <v>12</v>
      </c>
      <c r="B5" s="2">
        <f t="shared" si="0"/>
        <v>6391444</v>
      </c>
      <c r="C5" s="2">
        <f t="shared" si="0"/>
        <v>5245512</v>
      </c>
      <c r="D5" s="2">
        <f t="shared" si="0"/>
        <v>4239672</v>
      </c>
      <c r="E5" s="2">
        <f t="shared" si="0"/>
        <v>1340376</v>
      </c>
      <c r="F5" s="2">
        <f t="shared" si="0"/>
        <v>2261570</v>
      </c>
      <c r="G5" s="2">
        <f t="shared" si="0"/>
        <v>386420</v>
      </c>
      <c r="H5" s="2">
        <f t="shared" si="0"/>
        <v>223204</v>
      </c>
      <c r="I5" s="2">
        <f t="shared" si="0"/>
        <v>386292</v>
      </c>
      <c r="J5" s="2"/>
    </row>
    <row r="6" spans="1:10" x14ac:dyDescent="0.2">
      <c r="A6" s="1" t="s">
        <v>16</v>
      </c>
      <c r="B6" s="7">
        <v>70716836</v>
      </c>
      <c r="C6" s="7">
        <v>58088608</v>
      </c>
      <c r="D6" s="7">
        <v>46867420</v>
      </c>
      <c r="E6" s="7">
        <v>14838024</v>
      </c>
      <c r="F6" s="7">
        <v>24971496</v>
      </c>
      <c r="G6" s="7">
        <v>4266064</v>
      </c>
      <c r="H6" s="7">
        <v>2465636</v>
      </c>
      <c r="I6" s="7">
        <v>4302968</v>
      </c>
      <c r="J6" s="2"/>
    </row>
    <row r="7" spans="1:10" x14ac:dyDescent="0.2">
      <c r="A7" s="1"/>
      <c r="B7" s="2"/>
      <c r="C7" s="2"/>
      <c r="D7" s="2"/>
      <c r="E7" s="2"/>
      <c r="F7" s="2"/>
      <c r="G7" s="2"/>
      <c r="H7" s="2"/>
      <c r="I7" s="2"/>
      <c r="J7" s="2"/>
    </row>
    <row r="8" spans="1:10" x14ac:dyDescent="0.2">
      <c r="A8" s="1"/>
      <c r="B8" s="4"/>
      <c r="C8" s="4"/>
      <c r="D8" s="4"/>
      <c r="E8" s="4"/>
      <c r="F8" s="4"/>
      <c r="G8" s="4"/>
      <c r="H8" s="4"/>
      <c r="I8" s="4"/>
    </row>
    <row r="9" spans="1:10" x14ac:dyDescent="0.2">
      <c r="A9" s="1"/>
      <c r="B9" s="2"/>
      <c r="C9" s="2"/>
      <c r="D9" s="2"/>
      <c r="E9" s="2"/>
      <c r="F9" s="2"/>
      <c r="G9" s="2"/>
      <c r="H9" s="2"/>
      <c r="I9" s="2"/>
      <c r="J9" s="2"/>
    </row>
    <row r="10" spans="1:10" x14ac:dyDescent="0.2">
      <c r="A10" s="1"/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2">
      <c r="A11" s="1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">
      <c r="A12" s="1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2">
      <c r="A13" s="1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2">
      <c r="A14" s="1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2">
      <c r="A15" s="1"/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2">
      <c r="A16" s="1"/>
      <c r="C16" s="2"/>
      <c r="D16" s="2"/>
      <c r="E16" s="2"/>
      <c r="F16" s="2"/>
      <c r="G16" s="2"/>
      <c r="H16" s="2"/>
      <c r="I16" s="2"/>
      <c r="J16" s="2"/>
    </row>
    <row r="17" spans="1:10" x14ac:dyDescent="0.2">
      <c r="A17" s="1"/>
      <c r="C17" s="2"/>
      <c r="D17" s="2"/>
      <c r="E17" s="2"/>
      <c r="F17" s="2"/>
      <c r="G17" s="2"/>
      <c r="H17" s="2"/>
      <c r="I17" s="2"/>
      <c r="J17" s="2"/>
    </row>
    <row r="18" spans="1:10" x14ac:dyDescent="0.2">
      <c r="A18" s="1"/>
      <c r="C18" s="2"/>
      <c r="D18" s="2"/>
      <c r="E18" s="2"/>
      <c r="F18" s="2"/>
      <c r="G18" s="2"/>
      <c r="H18" s="2"/>
      <c r="I18" s="2"/>
      <c r="J18" s="2"/>
    </row>
    <row r="19" spans="1:10" x14ac:dyDescent="0.2">
      <c r="A19" s="1"/>
      <c r="C19" s="2"/>
      <c r="D19" s="2"/>
      <c r="E19" s="2"/>
      <c r="F19" s="2"/>
      <c r="G19" s="2"/>
      <c r="H19" s="2"/>
      <c r="I19" s="2"/>
      <c r="J19" s="2"/>
    </row>
    <row r="20" spans="1:10" x14ac:dyDescent="0.2">
      <c r="A20" s="1"/>
      <c r="C20" s="2"/>
      <c r="D20" s="2"/>
      <c r="E20" s="2"/>
      <c r="F20" s="2"/>
      <c r="G20" s="2"/>
      <c r="H20" s="2"/>
      <c r="I20" s="2"/>
      <c r="J20" s="2"/>
    </row>
    <row r="21" spans="1:10" x14ac:dyDescent="0.2">
      <c r="A21" s="1"/>
      <c r="C21" s="2"/>
      <c r="D21" s="2"/>
      <c r="E21" s="2"/>
      <c r="F21" s="2"/>
      <c r="G21" s="2"/>
      <c r="H21" s="2"/>
      <c r="I21" s="2"/>
      <c r="J21" s="2"/>
    </row>
    <row r="22" spans="1:10" x14ac:dyDescent="0.2">
      <c r="A22" s="1"/>
      <c r="C22" s="2"/>
      <c r="D22" s="2"/>
      <c r="E22" s="2"/>
      <c r="F22" s="2"/>
      <c r="G22" s="2"/>
      <c r="H22" s="2"/>
      <c r="I22" s="2"/>
      <c r="J22" s="2"/>
    </row>
    <row r="23" spans="1:10" x14ac:dyDescent="0.2">
      <c r="A23" s="1"/>
      <c r="C23" s="2"/>
      <c r="D23" s="2"/>
      <c r="E23" s="2"/>
      <c r="F23" s="2"/>
      <c r="G23" s="2"/>
      <c r="H23" s="2"/>
      <c r="I23" s="2"/>
      <c r="J23" s="2"/>
    </row>
    <row r="24" spans="1:10" x14ac:dyDescent="0.2">
      <c r="A24" s="1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2">
      <c r="A25" s="1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2">
      <c r="A26" s="1"/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2">
      <c r="A27" s="1"/>
      <c r="B27" s="2"/>
      <c r="C27" s="2"/>
      <c r="D27" s="2"/>
      <c r="E27" s="2"/>
      <c r="F27" s="2"/>
      <c r="G27" s="2"/>
      <c r="H27" s="2"/>
      <c r="I27" s="2"/>
      <c r="J27" s="2"/>
    </row>
    <row r="28" spans="1:10" x14ac:dyDescent="0.2">
      <c r="A28" s="1"/>
      <c r="B28" s="2"/>
      <c r="C28" s="2"/>
      <c r="D28" s="2"/>
      <c r="E28" s="2"/>
      <c r="F28" s="2"/>
      <c r="G28" s="2"/>
      <c r="H28" s="2"/>
      <c r="I28" s="2"/>
      <c r="J28" s="2"/>
    </row>
    <row r="29" spans="1:10" x14ac:dyDescent="0.2">
      <c r="B29" s="4"/>
      <c r="C29" s="4"/>
      <c r="D29" s="4"/>
      <c r="E29" s="4"/>
      <c r="F29" s="4"/>
      <c r="G29" s="4"/>
      <c r="H29" s="4"/>
      <c r="I29" s="4"/>
    </row>
    <row r="47" spans="1:10" x14ac:dyDescent="0.2">
      <c r="A47" s="5" t="s">
        <v>9</v>
      </c>
      <c r="B47" s="6">
        <v>1495123</v>
      </c>
      <c r="C47" s="6">
        <v>1214384</v>
      </c>
      <c r="D47" s="6">
        <v>1002161</v>
      </c>
      <c r="E47" s="6">
        <v>311622</v>
      </c>
      <c r="F47" s="6">
        <v>541836</v>
      </c>
      <c r="G47" s="6">
        <v>92744</v>
      </c>
      <c r="H47" s="6">
        <v>53203</v>
      </c>
      <c r="I47" s="6">
        <v>83134</v>
      </c>
    </row>
    <row r="48" spans="1:10" x14ac:dyDescent="0.2">
      <c r="A48" s="5" t="s">
        <v>10</v>
      </c>
      <c r="B48" s="6">
        <v>1700599</v>
      </c>
      <c r="C48" s="6">
        <v>1408372</v>
      </c>
      <c r="D48" s="6">
        <v>1117675</v>
      </c>
      <c r="E48" s="6">
        <v>358566</v>
      </c>
      <c r="F48" s="6">
        <v>588949</v>
      </c>
      <c r="G48" s="6">
        <v>100466</v>
      </c>
      <c r="H48" s="6">
        <v>58399</v>
      </c>
      <c r="I48" s="6">
        <v>110012</v>
      </c>
      <c r="J48" s="6"/>
    </row>
    <row r="49" spans="1:10" x14ac:dyDescent="0.2">
      <c r="A49" s="1" t="s">
        <v>11</v>
      </c>
      <c r="B49" s="2">
        <f t="shared" ref="B49:I53" si="1">SUM(B46:B48)</f>
        <v>3195722</v>
      </c>
      <c r="C49" s="2">
        <f t="shared" si="1"/>
        <v>2622756</v>
      </c>
      <c r="D49" s="2">
        <f t="shared" si="1"/>
        <v>2119836</v>
      </c>
      <c r="E49" s="2">
        <f t="shared" si="1"/>
        <v>670188</v>
      </c>
      <c r="F49" s="2">
        <f t="shared" si="1"/>
        <v>1130785</v>
      </c>
      <c r="G49" s="2">
        <f t="shared" si="1"/>
        <v>193210</v>
      </c>
      <c r="H49" s="2">
        <f t="shared" si="1"/>
        <v>111602</v>
      </c>
      <c r="I49" s="2">
        <f t="shared" si="1"/>
        <v>193146</v>
      </c>
      <c r="J49" s="2"/>
    </row>
    <row r="50" spans="1:10" x14ac:dyDescent="0.2">
      <c r="A50" s="1" t="s">
        <v>12</v>
      </c>
      <c r="B50" s="2">
        <f t="shared" si="1"/>
        <v>6391444</v>
      </c>
      <c r="C50" s="2">
        <f t="shared" si="1"/>
        <v>5245512</v>
      </c>
      <c r="D50" s="2">
        <f t="shared" si="1"/>
        <v>4239672</v>
      </c>
      <c r="E50" s="2">
        <f t="shared" si="1"/>
        <v>1340376</v>
      </c>
      <c r="F50" s="2">
        <f t="shared" si="1"/>
        <v>2261570</v>
      </c>
      <c r="G50" s="2">
        <f t="shared" si="1"/>
        <v>386420</v>
      </c>
      <c r="H50" s="2">
        <f t="shared" si="1"/>
        <v>223204</v>
      </c>
      <c r="I50" s="2">
        <f t="shared" si="1"/>
        <v>386292</v>
      </c>
      <c r="J50" s="2"/>
    </row>
    <row r="51" spans="1:10" x14ac:dyDescent="0.2">
      <c r="A51" s="1" t="s">
        <v>13</v>
      </c>
      <c r="B51" s="2">
        <f t="shared" si="1"/>
        <v>11287765</v>
      </c>
      <c r="C51" s="2">
        <f t="shared" si="1"/>
        <v>9276640</v>
      </c>
      <c r="D51" s="2">
        <f t="shared" si="1"/>
        <v>7477183</v>
      </c>
      <c r="E51" s="2">
        <f t="shared" si="1"/>
        <v>2369130</v>
      </c>
      <c r="F51" s="2">
        <f t="shared" si="1"/>
        <v>3981304</v>
      </c>
      <c r="G51" s="2">
        <f t="shared" si="1"/>
        <v>680096</v>
      </c>
      <c r="H51" s="2">
        <f t="shared" si="1"/>
        <v>393205</v>
      </c>
      <c r="I51" s="2">
        <f t="shared" si="1"/>
        <v>689450</v>
      </c>
      <c r="J51" s="2"/>
    </row>
    <row r="52" spans="1:10" x14ac:dyDescent="0.2">
      <c r="A52" s="1" t="s">
        <v>14</v>
      </c>
      <c r="B52" s="2">
        <f t="shared" si="1"/>
        <v>20874931</v>
      </c>
      <c r="C52" s="2">
        <f t="shared" si="1"/>
        <v>17144908</v>
      </c>
      <c r="D52" s="2">
        <f t="shared" si="1"/>
        <v>13836691</v>
      </c>
      <c r="E52" s="2">
        <f t="shared" si="1"/>
        <v>4379694</v>
      </c>
      <c r="F52" s="2">
        <f t="shared" si="1"/>
        <v>7373659</v>
      </c>
      <c r="G52" s="2">
        <f t="shared" si="1"/>
        <v>1259726</v>
      </c>
      <c r="H52" s="2">
        <f t="shared" si="1"/>
        <v>728011</v>
      </c>
      <c r="I52" s="2">
        <f t="shared" si="1"/>
        <v>1268888</v>
      </c>
      <c r="J52" s="2"/>
    </row>
    <row r="53" spans="1:10" x14ac:dyDescent="0.2">
      <c r="A53" s="1" t="s">
        <v>15</v>
      </c>
      <c r="B53" s="4">
        <f t="shared" si="1"/>
        <v>38554140</v>
      </c>
      <c r="C53" s="4">
        <f t="shared" si="1"/>
        <v>31667060</v>
      </c>
      <c r="D53" s="4">
        <f t="shared" si="1"/>
        <v>25553546</v>
      </c>
      <c r="E53" s="4">
        <f t="shared" si="1"/>
        <v>8089200</v>
      </c>
      <c r="F53" s="4">
        <f t="shared" si="1"/>
        <v>13616533</v>
      </c>
      <c r="G53" s="4">
        <f t="shared" si="1"/>
        <v>2326242</v>
      </c>
      <c r="H53" s="4">
        <f t="shared" si="1"/>
        <v>1344420</v>
      </c>
      <c r="I53" s="4">
        <f t="shared" si="1"/>
        <v>2344630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2026-05-09T18:36:17Z</dcterms:created>
  <dcterms:modified xsi:type="dcterms:W3CDTF">2026-05-10T08:35:15Z</dcterms:modified>
</cp:coreProperties>
</file>